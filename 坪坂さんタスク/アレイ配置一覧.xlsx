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アレイ配置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6"/>
    </font>
    <font>
      <i val="1"/>
      <color rgb="00808080"/>
      <sz val="10"/>
    </font>
    <font>
      <b val="1"/>
      <color rgb="004472C4"/>
      <sz val="13"/>
    </font>
    <font>
      <b val="1"/>
      <color rgb="00FFFFFF"/>
      <sz val="11"/>
    </font>
    <font>
      <b val="1"/>
      <sz val="12"/>
    </font>
    <font>
      <b val="1"/>
      <color rgb="005B9BD5"/>
      <sz val="13"/>
    </font>
    <font>
      <b val="1"/>
      <color rgb="007030A0"/>
      <sz val="13"/>
    </font>
    <font>
      <b val="1"/>
      <color rgb="00ED7D31"/>
      <sz val="13"/>
    </font>
    <font>
      <b val="1"/>
      <color rgb="0070AD47"/>
      <sz val="13"/>
    </font>
    <font>
      <b val="1"/>
      <sz val="14"/>
    </font>
    <font>
      <i val="1"/>
      <sz val="10"/>
    </font>
    <font>
      <i val="1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太陽光パネル アレイ配置一覧表</t>
        </is>
      </c>
    </row>
    <row r="2">
      <c r="A2" s="2" t="inlineStr">
        <is>
          <t>短辺=列 / 長辺=段 ／ 基準: 12500付近アレイ = 3列×6段</t>
        </is>
      </c>
    </row>
    <row r="4">
      <c r="A4" s="3" t="inlineStr">
        <is>
          <t>面1（右上屋根・上面）135枚</t>
        </is>
      </c>
    </row>
    <row r="5">
      <c r="A5" s="4" t="inlineStr">
        <is>
          <t>屋根面</t>
        </is>
      </c>
      <c r="B5" s="4" t="inlineStr">
        <is>
          <t>アレイ番号</t>
        </is>
      </c>
      <c r="C5" s="4" t="inlineStr">
        <is>
          <t>列(短辺)</t>
        </is>
      </c>
      <c r="D5" s="4" t="inlineStr">
        <is>
          <t>段(長辺)</t>
        </is>
      </c>
      <c r="E5" s="4" t="inlineStr">
        <is>
          <t>枚数</t>
        </is>
      </c>
      <c r="F5" s="4" t="inlineStr">
        <is>
          <t>備考</t>
        </is>
      </c>
    </row>
    <row r="6">
      <c r="A6" s="5" t="inlineStr">
        <is>
          <t>面1</t>
        </is>
      </c>
      <c r="B6" s="5" t="inlineStr">
        <is>
          <t>1-1（左ブロック）</t>
        </is>
      </c>
      <c r="C6" s="5" t="n">
        <v>5</v>
      </c>
      <c r="D6" s="5" t="n">
        <v>14</v>
      </c>
      <c r="E6" s="6">
        <f>C6*D6</f>
        <v/>
      </c>
      <c r="F6" s="7" t="inlineStr">
        <is>
          <t>寸法15000×43400</t>
        </is>
      </c>
    </row>
    <row r="7">
      <c r="A7" s="5" t="inlineStr">
        <is>
          <t>面1</t>
        </is>
      </c>
      <c r="B7" s="5" t="inlineStr">
        <is>
          <t>1-2（右ブロック）</t>
        </is>
      </c>
      <c r="C7" s="5" t="n">
        <v>5</v>
      </c>
      <c r="D7" s="5" t="n">
        <v>13</v>
      </c>
      <c r="E7" s="6">
        <f>C7*D7</f>
        <v/>
      </c>
      <c r="F7" s="7" t="inlineStr">
        <is>
          <t>寸法15000×43400</t>
        </is>
      </c>
    </row>
    <row r="8">
      <c r="A8" s="8" t="n"/>
      <c r="B8" s="9" t="inlineStr">
        <is>
          <t>面1 小計</t>
        </is>
      </c>
      <c r="C8" s="8" t="n"/>
      <c r="D8" s="8" t="n"/>
      <c r="E8" s="10">
        <f>SUM(E6:E7)</f>
        <v/>
      </c>
      <c r="F8" s="8" t="inlineStr">
        <is>
          <t>目標: 135枚</t>
        </is>
      </c>
    </row>
    <row r="10">
      <c r="A10" s="11" t="inlineStr">
        <is>
          <t>面2（右上屋根・下面）135枚</t>
        </is>
      </c>
    </row>
    <row r="11">
      <c r="A11" s="12" t="inlineStr">
        <is>
          <t>屋根面</t>
        </is>
      </c>
      <c r="B11" s="12" t="inlineStr">
        <is>
          <t>アレイ番号</t>
        </is>
      </c>
      <c r="C11" s="12" t="inlineStr">
        <is>
          <t>列(短辺)</t>
        </is>
      </c>
      <c r="D11" s="12" t="inlineStr">
        <is>
          <t>段(長辺)</t>
        </is>
      </c>
      <c r="E11" s="12" t="inlineStr">
        <is>
          <t>枚数</t>
        </is>
      </c>
      <c r="F11" s="12" t="inlineStr">
        <is>
          <t>備考</t>
        </is>
      </c>
    </row>
    <row r="12">
      <c r="A12" s="5" t="inlineStr">
        <is>
          <t>面2</t>
        </is>
      </c>
      <c r="B12" s="5" t="inlineStr">
        <is>
          <t>2-1（左ブロック）</t>
        </is>
      </c>
      <c r="C12" s="5" t="n">
        <v>3</v>
      </c>
      <c r="D12" s="5" t="n">
        <v>23</v>
      </c>
      <c r="E12" s="6">
        <f>C12*D12</f>
        <v/>
      </c>
      <c r="F12" s="7" t="inlineStr">
        <is>
          <t>寸法10250×43400</t>
        </is>
      </c>
    </row>
    <row r="13">
      <c r="A13" s="5" t="inlineStr">
        <is>
          <t>面2</t>
        </is>
      </c>
      <c r="B13" s="5" t="inlineStr">
        <is>
          <t>2-2（右ブロック）</t>
        </is>
      </c>
      <c r="C13" s="5" t="n">
        <v>3</v>
      </c>
      <c r="D13" s="5" t="n">
        <v>22</v>
      </c>
      <c r="E13" s="6">
        <f>C13*D13</f>
        <v/>
      </c>
      <c r="F13" s="7" t="inlineStr">
        <is>
          <t>寸法10250×43400</t>
        </is>
      </c>
    </row>
    <row r="14">
      <c r="A14" s="8" t="n"/>
      <c r="B14" s="9" t="inlineStr">
        <is>
          <t>面2 小計</t>
        </is>
      </c>
      <c r="C14" s="8" t="n"/>
      <c r="D14" s="8" t="n"/>
      <c r="E14" s="10">
        <f>SUM(E12:E13)</f>
        <v/>
      </c>
      <c r="F14" s="8" t="inlineStr">
        <is>
          <t>目標: 135枚</t>
        </is>
      </c>
    </row>
    <row r="16">
      <c r="A16" s="13" t="inlineStr">
        <is>
          <t>面5（大屋根・左から2番目）450枚</t>
        </is>
      </c>
    </row>
    <row r="17">
      <c r="A17" s="14" t="inlineStr">
        <is>
          <t>屋根面</t>
        </is>
      </c>
      <c r="B17" s="14" t="inlineStr">
        <is>
          <t>アレイ番号</t>
        </is>
      </c>
      <c r="C17" s="14" t="inlineStr">
        <is>
          <t>列(短辺)</t>
        </is>
      </c>
      <c r="D17" s="14" t="inlineStr">
        <is>
          <t>段(長辺)</t>
        </is>
      </c>
      <c r="E17" s="14" t="inlineStr">
        <is>
          <t>枚数</t>
        </is>
      </c>
      <c r="F17" s="14" t="inlineStr">
        <is>
          <t>備考</t>
        </is>
      </c>
    </row>
    <row r="18">
      <c r="A18" s="5" t="inlineStr">
        <is>
          <t>面5</t>
        </is>
      </c>
      <c r="B18" s="5" t="inlineStr">
        <is>
          <t>5-1（上ブロック）</t>
        </is>
      </c>
      <c r="C18" s="5" t="n">
        <v>9</v>
      </c>
      <c r="D18" s="5" t="n">
        <v>25</v>
      </c>
      <c r="E18" s="6">
        <f>C18*D18</f>
        <v/>
      </c>
      <c r="F18" s="7" t="inlineStr">
        <is>
          <t>寸法46000×70128付近</t>
        </is>
      </c>
    </row>
    <row r="19">
      <c r="A19" s="5" t="inlineStr">
        <is>
          <t>面5</t>
        </is>
      </c>
      <c r="B19" s="5" t="inlineStr">
        <is>
          <t>5-2（下ブロック）</t>
        </is>
      </c>
      <c r="C19" s="5" t="n">
        <v>9</v>
      </c>
      <c r="D19" s="5" t="n">
        <v>25</v>
      </c>
      <c r="E19" s="6">
        <f>C19*D19</f>
        <v/>
      </c>
      <c r="F19" s="7" t="inlineStr"/>
    </row>
    <row r="20">
      <c r="A20" s="8" t="n"/>
      <c r="B20" s="9" t="inlineStr">
        <is>
          <t>面5 小計</t>
        </is>
      </c>
      <c r="C20" s="8" t="n"/>
      <c r="D20" s="8" t="n"/>
      <c r="E20" s="10">
        <f>SUM(E18:E19)</f>
        <v/>
      </c>
      <c r="F20" s="8" t="inlineStr">
        <is>
          <t>目標: 450枚</t>
        </is>
      </c>
    </row>
    <row r="22">
      <c r="A22" s="15" t="inlineStr">
        <is>
          <t>面4（大屋根・一番左）544枚</t>
        </is>
      </c>
    </row>
    <row r="23">
      <c r="A23" s="16" t="inlineStr">
        <is>
          <t>屋根面</t>
        </is>
      </c>
      <c r="B23" s="16" t="inlineStr">
        <is>
          <t>アレイ番号</t>
        </is>
      </c>
      <c r="C23" s="16" t="inlineStr">
        <is>
          <t>列(短辺)</t>
        </is>
      </c>
      <c r="D23" s="16" t="inlineStr">
        <is>
          <t>段(長辺)</t>
        </is>
      </c>
      <c r="E23" s="16" t="inlineStr">
        <is>
          <t>枚数</t>
        </is>
      </c>
      <c r="F23" s="16" t="inlineStr">
        <is>
          <t>備考</t>
        </is>
      </c>
    </row>
    <row r="24">
      <c r="A24" s="5" t="inlineStr">
        <is>
          <t>面4</t>
        </is>
      </c>
      <c r="B24" s="5" t="inlineStr">
        <is>
          <t>4-1（左端上・小）</t>
        </is>
      </c>
      <c r="C24" s="5" t="n">
        <v>3</v>
      </c>
      <c r="D24" s="5" t="n">
        <v>6</v>
      </c>
      <c r="E24" s="6">
        <f>C24*D24</f>
        <v/>
      </c>
      <c r="F24" s="7" t="inlineStr">
        <is>
          <t>12500付近（基準アレイ）</t>
        </is>
      </c>
    </row>
    <row r="25">
      <c r="A25" s="5" t="inlineStr">
        <is>
          <t>面4</t>
        </is>
      </c>
      <c r="B25" s="5" t="inlineStr">
        <is>
          <t>4-2（左端中）</t>
        </is>
      </c>
      <c r="C25" s="5" t="n">
        <v>2</v>
      </c>
      <c r="D25" s="5" t="n">
        <v>11</v>
      </c>
      <c r="E25" s="6">
        <f>C25*D25</f>
        <v/>
      </c>
      <c r="F25" s="7" t="inlineStr">
        <is>
          <t>8000付近</t>
        </is>
      </c>
    </row>
    <row r="26">
      <c r="A26" s="5" t="inlineStr">
        <is>
          <t>面4</t>
        </is>
      </c>
      <c r="B26" s="5" t="inlineStr">
        <is>
          <t>4-3（左端下）</t>
        </is>
      </c>
      <c r="C26" s="5" t="n">
        <v>8</v>
      </c>
      <c r="D26" s="5" t="n">
        <v>11</v>
      </c>
      <c r="E26" s="6">
        <f>C26*D26</f>
        <v/>
      </c>
      <c r="F26" s="7" t="inlineStr">
        <is>
          <t>33500付近</t>
        </is>
      </c>
    </row>
    <row r="27">
      <c r="A27" s="5" t="inlineStr">
        <is>
          <t>面4</t>
        </is>
      </c>
      <c r="B27" s="5" t="inlineStr">
        <is>
          <t>4-4（上段）</t>
        </is>
      </c>
      <c r="C27" s="5" t="n">
        <v>11</v>
      </c>
      <c r="D27" s="5" t="n">
        <v>13</v>
      </c>
      <c r="E27" s="6">
        <f>C27*D27</f>
        <v/>
      </c>
      <c r="F27" s="7" t="inlineStr">
        <is>
          <t>48504×46000付近</t>
        </is>
      </c>
    </row>
    <row r="28">
      <c r="A28" s="5" t="inlineStr">
        <is>
          <t>面4</t>
        </is>
      </c>
      <c r="B28" s="5" t="inlineStr">
        <is>
          <t>4-5（下段左）</t>
        </is>
      </c>
      <c r="C28" s="5" t="n">
        <v>9</v>
      </c>
      <c r="D28" s="5" t="n">
        <v>11</v>
      </c>
      <c r="E28" s="6">
        <f>C28*D28</f>
        <v/>
      </c>
      <c r="F28" s="7" t="inlineStr">
        <is>
          <t>37000付近</t>
        </is>
      </c>
    </row>
    <row r="29">
      <c r="A29" s="5" t="inlineStr">
        <is>
          <t>面4</t>
        </is>
      </c>
      <c r="B29" s="5" t="inlineStr">
        <is>
          <t>4-6（下段右）</t>
        </is>
      </c>
      <c r="C29" s="5" t="n">
        <v>9</v>
      </c>
      <c r="D29" s="5" t="n">
        <v>13</v>
      </c>
      <c r="E29" s="6">
        <f>C29*D29</f>
        <v/>
      </c>
      <c r="F29" s="7" t="inlineStr">
        <is>
          <t>45000付近</t>
        </is>
      </c>
    </row>
    <row r="30">
      <c r="A30" s="8" t="n"/>
      <c r="B30" s="9" t="inlineStr">
        <is>
          <t>面4 小計</t>
        </is>
      </c>
      <c r="C30" s="8" t="n"/>
      <c r="D30" s="8" t="n"/>
      <c r="E30" s="10">
        <f>SUM(E24:E29)</f>
        <v/>
      </c>
      <c r="F30" s="8" t="inlineStr">
        <is>
          <t>目標: 544枚</t>
        </is>
      </c>
    </row>
    <row r="32">
      <c r="A32" s="17" t="inlineStr">
        <is>
          <t>面3（大屋根・右側）1,391枚</t>
        </is>
      </c>
    </row>
    <row r="33">
      <c r="A33" s="18" t="inlineStr">
        <is>
          <t>屋根面</t>
        </is>
      </c>
      <c r="B33" s="18" t="inlineStr">
        <is>
          <t>アレイ番号</t>
        </is>
      </c>
      <c r="C33" s="18" t="inlineStr">
        <is>
          <t>列(短辺)</t>
        </is>
      </c>
      <c r="D33" s="18" t="inlineStr">
        <is>
          <t>段(長辺)</t>
        </is>
      </c>
      <c r="E33" s="18" t="inlineStr">
        <is>
          <t>枚数</t>
        </is>
      </c>
      <c r="F33" s="18" t="inlineStr">
        <is>
          <t>備考</t>
        </is>
      </c>
    </row>
    <row r="34">
      <c r="A34" s="5" t="inlineStr">
        <is>
          <t>面3</t>
        </is>
      </c>
      <c r="B34" s="5" t="inlineStr">
        <is>
          <t>3-1（上段左）</t>
        </is>
      </c>
      <c r="C34" s="5" t="n">
        <v>7</v>
      </c>
      <c r="D34" s="5" t="n">
        <v>13</v>
      </c>
      <c r="E34" s="6">
        <f>C34*D34</f>
        <v/>
      </c>
      <c r="F34" s="7" t="inlineStr">
        <is>
          <t>29667付近</t>
        </is>
      </c>
    </row>
    <row r="35">
      <c r="A35" s="5" t="inlineStr">
        <is>
          <t>面3</t>
        </is>
      </c>
      <c r="B35" s="5" t="inlineStr">
        <is>
          <t>3-2（上段右・小）</t>
        </is>
      </c>
      <c r="C35" s="5" t="n">
        <v>4</v>
      </c>
      <c r="D35" s="5" t="n">
        <v>11</v>
      </c>
      <c r="E35" s="6">
        <f>C35*D35</f>
        <v/>
      </c>
      <c r="F35" s="7" t="inlineStr">
        <is>
          <t>18500付近</t>
        </is>
      </c>
    </row>
    <row r="36">
      <c r="A36" s="5" t="inlineStr">
        <is>
          <t>面3</t>
        </is>
      </c>
      <c r="B36" s="5" t="inlineStr">
        <is>
          <t>3-3（中段上左）</t>
        </is>
      </c>
      <c r="C36" s="5" t="n">
        <v>9</v>
      </c>
      <c r="D36" s="5" t="n">
        <v>13</v>
      </c>
      <c r="E36" s="6">
        <f>C36*D36</f>
        <v/>
      </c>
      <c r="F36" s="7" t="inlineStr"/>
    </row>
    <row r="37">
      <c r="A37" s="5" t="inlineStr">
        <is>
          <t>面3</t>
        </is>
      </c>
      <c r="B37" s="5" t="inlineStr">
        <is>
          <t>3-4（中段上右）</t>
        </is>
      </c>
      <c r="C37" s="5" t="n">
        <v>4</v>
      </c>
      <c r="D37" s="5" t="n">
        <v>13</v>
      </c>
      <c r="E37" s="6">
        <f>C37*D37</f>
        <v/>
      </c>
      <c r="F37" s="7" t="inlineStr">
        <is>
          <t>17000付近</t>
        </is>
      </c>
    </row>
    <row r="38">
      <c r="A38" s="5" t="inlineStr">
        <is>
          <t>面3</t>
        </is>
      </c>
      <c r="B38" s="5" t="inlineStr">
        <is>
          <t>3-5（中段下左）</t>
        </is>
      </c>
      <c r="C38" s="5" t="n">
        <v>9</v>
      </c>
      <c r="D38" s="5" t="n">
        <v>13</v>
      </c>
      <c r="E38" s="6">
        <f>C38*D38</f>
        <v/>
      </c>
      <c r="F38" s="7" t="inlineStr"/>
    </row>
    <row r="39">
      <c r="A39" s="5" t="inlineStr">
        <is>
          <t>面3</t>
        </is>
      </c>
      <c r="B39" s="5" t="inlineStr">
        <is>
          <t>3-6（中段下右）</t>
        </is>
      </c>
      <c r="C39" s="5" t="n">
        <v>4</v>
      </c>
      <c r="D39" s="5" t="n">
        <v>13</v>
      </c>
      <c r="E39" s="6">
        <f>C39*D39</f>
        <v/>
      </c>
      <c r="F39" s="7" t="inlineStr"/>
    </row>
    <row r="40">
      <c r="A40" s="5" t="inlineStr">
        <is>
          <t>面3</t>
        </is>
      </c>
      <c r="B40" s="5" t="inlineStr">
        <is>
          <t>3-7（下段左上）</t>
        </is>
      </c>
      <c r="C40" s="5" t="n">
        <v>9</v>
      </c>
      <c r="D40" s="5" t="n">
        <v>13</v>
      </c>
      <c r="E40" s="6">
        <f>C40*D40</f>
        <v/>
      </c>
      <c r="F40" s="7" t="inlineStr">
        <is>
          <t>40500付近</t>
        </is>
      </c>
    </row>
    <row r="41">
      <c r="A41" s="5" t="inlineStr">
        <is>
          <t>面3</t>
        </is>
      </c>
      <c r="B41" s="5" t="inlineStr">
        <is>
          <t>3-8（下段左下）</t>
        </is>
      </c>
      <c r="C41" s="5" t="n">
        <v>9</v>
      </c>
      <c r="D41" s="5" t="n">
        <v>13</v>
      </c>
      <c r="E41" s="6">
        <f>C41*D41</f>
        <v/>
      </c>
      <c r="F41" s="7" t="inlineStr"/>
    </row>
    <row r="42">
      <c r="A42" s="5" t="inlineStr">
        <is>
          <t>面3</t>
        </is>
      </c>
      <c r="B42" s="5" t="inlineStr">
        <is>
          <t>3-9（下段中上）</t>
        </is>
      </c>
      <c r="C42" s="5" t="n">
        <v>9</v>
      </c>
      <c r="D42" s="5" t="n">
        <v>13</v>
      </c>
      <c r="E42" s="6">
        <f>C42*D42</f>
        <v/>
      </c>
      <c r="F42" s="7" t="inlineStr">
        <is>
          <t>75600付近</t>
        </is>
      </c>
    </row>
    <row r="43">
      <c r="A43" s="5" t="inlineStr">
        <is>
          <t>面3</t>
        </is>
      </c>
      <c r="B43" s="5" t="inlineStr">
        <is>
          <t>3-10（下段中下）</t>
        </is>
      </c>
      <c r="C43" s="5" t="n">
        <v>9</v>
      </c>
      <c r="D43" s="5" t="n">
        <v>13</v>
      </c>
      <c r="E43" s="6">
        <f>C43*D43</f>
        <v/>
      </c>
      <c r="F43" s="7" t="inlineStr"/>
    </row>
    <row r="44">
      <c r="A44" s="5" t="inlineStr">
        <is>
          <t>面3</t>
        </is>
      </c>
      <c r="B44" s="5" t="inlineStr">
        <is>
          <t>3-11（下段右上）</t>
        </is>
      </c>
      <c r="C44" s="5" t="n">
        <v>9</v>
      </c>
      <c r="D44" s="5" t="n">
        <v>13</v>
      </c>
      <c r="E44" s="6">
        <f>C44*D44</f>
        <v/>
      </c>
      <c r="F44" s="7" t="inlineStr"/>
    </row>
    <row r="45">
      <c r="A45" s="5" t="inlineStr">
        <is>
          <t>面3</t>
        </is>
      </c>
      <c r="B45" s="5" t="inlineStr">
        <is>
          <t>3-12（下段右下）</t>
        </is>
      </c>
      <c r="C45" s="5" t="n">
        <v>9</v>
      </c>
      <c r="D45" s="5" t="n">
        <v>13</v>
      </c>
      <c r="E45" s="6">
        <f>C45*D45</f>
        <v/>
      </c>
      <c r="F45" s="7" t="inlineStr"/>
    </row>
    <row r="46">
      <c r="A46" s="5" t="inlineStr">
        <is>
          <t>面3</t>
        </is>
      </c>
      <c r="B46" s="5" t="inlineStr">
        <is>
          <t>3-13（右端上）</t>
        </is>
      </c>
      <c r="C46" s="5" t="n">
        <v>5</v>
      </c>
      <c r="D46" s="5" t="n">
        <v>6</v>
      </c>
      <c r="E46" s="6">
        <f>C46*D46</f>
        <v/>
      </c>
      <c r="F46" s="7" t="inlineStr">
        <is>
          <t>10250付近</t>
        </is>
      </c>
    </row>
    <row r="47">
      <c r="A47" s="5" t="inlineStr">
        <is>
          <t>面3</t>
        </is>
      </c>
      <c r="B47" s="5" t="inlineStr">
        <is>
          <t>3-14（右端下）</t>
        </is>
      </c>
      <c r="C47" s="5" t="n">
        <v>5</v>
      </c>
      <c r="D47" s="5" t="n">
        <v>6</v>
      </c>
      <c r="E47" s="6">
        <f>C47*D47</f>
        <v/>
      </c>
      <c r="F47" s="7" t="inlineStr">
        <is>
          <t>10000付近</t>
        </is>
      </c>
    </row>
    <row r="48">
      <c r="A48" s="8" t="n"/>
      <c r="B48" s="9" t="inlineStr">
        <is>
          <t>面3 小計</t>
        </is>
      </c>
      <c r="C48" s="8" t="n"/>
      <c r="D48" s="8" t="n"/>
      <c r="E48" s="10">
        <f>SUM(E34:E47)</f>
        <v/>
      </c>
      <c r="F48" s="8" t="inlineStr">
        <is>
          <t>目標: 1,391枚</t>
        </is>
      </c>
    </row>
    <row r="50">
      <c r="A50" s="19" t="inlineStr">
        <is>
          <t>総合計</t>
        </is>
      </c>
      <c r="B50" s="8" t="n"/>
      <c r="C50" s="8" t="n"/>
      <c r="D50" s="8" t="n"/>
      <c r="E50" s="19">
        <f>E34+E33</f>
        <v/>
      </c>
    </row>
    <row r="52">
      <c r="A52" s="20" t="inlineStr">
        <is>
          <t>※ 枚数欄は「=列×段」の数式です。列・段を修正すれば自動で再計算されます。</t>
        </is>
      </c>
    </row>
    <row r="53">
      <c r="A53" s="21" t="inlineStr">
        <is>
          <t>※ 画像の読み取りによる推定値です。正確な列×段は実図面と照合してください。</t>
        </is>
      </c>
    </row>
    <row r="54">
      <c r="A54" s="21" t="inlineStr">
        <is>
          <t>※ 各面の小計が目標枚数と一致するよう列・段を調整してください。</t>
        </is>
      </c>
    </row>
  </sheetData>
  <mergeCells count="11">
    <mergeCell ref="A2:F2"/>
    <mergeCell ref="A16:F16"/>
    <mergeCell ref="A52:F52"/>
    <mergeCell ref="A10:F10"/>
    <mergeCell ref="A54:F54"/>
    <mergeCell ref="A50:D50"/>
    <mergeCell ref="A1:F1"/>
    <mergeCell ref="A32:F32"/>
    <mergeCell ref="A22:F22"/>
    <mergeCell ref="A4:F4"/>
    <mergeCell ref="A53:F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2026-02-12T09:34:59Z</dcterms:created>
  <dcterms:modified xmlns:dcterms="http://purl.org/dc/terms/" xmlns:xsi="http://www.w3.org/2001/XMLSchema-instance" xsi:type="dcterms:W3CDTF">2026-02-12T09:35:00Z</dcterms:modified>
</cp:coreProperties>
</file>